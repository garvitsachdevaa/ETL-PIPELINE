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Analytics" sheetId="3" state="visible" r:id="rId3"/>
    <sheet xmlns:r="http://schemas.openxmlformats.org/officeDocument/2006/relationships" name="Formatted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$&quot;#,##0.00"/>
    <numFmt numFmtId="166" formatCode="0.0%"/>
    <numFmt numFmtId="167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color rgb="00FF0000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Hire_Date</t>
        </is>
      </c>
      <c r="E1" s="1" t="inlineStr">
        <is>
          <t>Base_Salary</t>
        </is>
      </c>
      <c r="F1" s="1" t="inlineStr">
        <is>
          <t>Bonus</t>
        </is>
      </c>
      <c r="G1" s="1" t="inlineStr">
        <is>
          <t>Total_Compensation</t>
        </is>
      </c>
      <c r="H1" s="1" t="inlineStr">
        <is>
          <t>Performance</t>
        </is>
      </c>
    </row>
    <row r="2">
      <c r="A2" t="n">
        <v>1001</v>
      </c>
      <c r="B2" t="inlineStr">
        <is>
          <t>Alice Johnson</t>
        </is>
      </c>
      <c r="C2" t="inlineStr">
        <is>
          <t>Engineering</t>
        </is>
      </c>
      <c r="D2" s="2" t="n">
        <v>44635</v>
      </c>
      <c r="E2" t="n">
        <v>75000</v>
      </c>
      <c r="F2" t="n">
        <v>7500</v>
      </c>
      <c r="G2">
        <f>E2+F2</f>
        <v/>
      </c>
      <c r="H2" t="n">
        <v>4.2</v>
      </c>
    </row>
    <row r="3">
      <c r="A3" t="n">
        <v>1002</v>
      </c>
      <c r="B3" t="inlineStr">
        <is>
          <t>Bob Smith</t>
        </is>
      </c>
      <c r="C3" t="inlineStr">
        <is>
          <t>Marketing</t>
        </is>
      </c>
      <c r="D3" s="2" t="n">
        <v>44399</v>
      </c>
      <c r="E3" t="n">
        <v>62000</v>
      </c>
      <c r="F3" t="n">
        <v>6200</v>
      </c>
      <c r="G3">
        <f>E3+F3</f>
        <v/>
      </c>
      <c r="H3" t="n">
        <v>3.8</v>
      </c>
    </row>
    <row r="4">
      <c r="A4" t="n">
        <v>1003</v>
      </c>
      <c r="B4" t="inlineStr">
        <is>
          <t>Carol Davis</t>
        </is>
      </c>
      <c r="C4" t="inlineStr">
        <is>
          <t>Engineering</t>
        </is>
      </c>
      <c r="D4" s="2" t="n">
        <v>44936</v>
      </c>
      <c r="E4" t="n">
        <v>78000</v>
      </c>
      <c r="F4" t="n">
        <v>8500</v>
      </c>
      <c r="G4">
        <f>E4+F4</f>
        <v/>
      </c>
      <c r="H4" t="n">
        <v>4.5</v>
      </c>
    </row>
    <row r="5">
      <c r="A5" t="n">
        <v>1004</v>
      </c>
      <c r="B5" t="inlineStr">
        <is>
          <t>David Wilson</t>
        </is>
      </c>
      <c r="C5" t="inlineStr">
        <is>
          <t>Sales</t>
        </is>
      </c>
      <c r="D5" s="2" t="n">
        <v>44140</v>
      </c>
      <c r="E5" t="n">
        <v>55000</v>
      </c>
      <c r="F5" t="n">
        <v>8000</v>
      </c>
      <c r="G5">
        <f>E5+F5</f>
        <v/>
      </c>
      <c r="H5" t="n">
        <v>4.1</v>
      </c>
    </row>
    <row r="6">
      <c r="A6" t="n">
        <v>1005</v>
      </c>
      <c r="B6" t="inlineStr">
        <is>
          <t>Emma Brown</t>
        </is>
      </c>
      <c r="C6" t="inlineStr">
        <is>
          <t>HR</t>
        </is>
      </c>
      <c r="D6" s="2" t="n">
        <v>44822</v>
      </c>
      <c r="E6" t="n">
        <v>58000</v>
      </c>
      <c r="F6" t="n">
        <v>4500</v>
      </c>
      <c r="G6">
        <f>E6+F6</f>
        <v/>
      </c>
      <c r="H6" t="n">
        <v>3.9</v>
      </c>
    </row>
    <row r="8">
      <c r="A8" t="inlineStr">
        <is>
          <t>SUMMARY:</t>
        </is>
      </c>
      <c r="B8" t="inlineStr">
        <is>
          <t>Total Employees</t>
        </is>
      </c>
      <c r="C8">
        <f>COUNTA(A2:A6)</f>
        <v/>
      </c>
    </row>
    <row r="9">
      <c r="B9" t="inlineStr">
        <is>
          <t>Avg Base Salary</t>
        </is>
      </c>
      <c r="C9">
        <f>AVERAGE(E2:E6)</f>
        <v/>
      </c>
    </row>
    <row r="10">
      <c r="B10" t="inlineStr">
        <is>
          <t>Total Compensation</t>
        </is>
      </c>
      <c r="C10">
        <f>SUM(G2:G6)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Q1 2025</t>
        </is>
      </c>
      <c r="C1" t="inlineStr">
        <is>
          <t>Q2 2025</t>
        </is>
      </c>
      <c r="D1" t="inlineStr">
        <is>
          <t>Q3 2025</t>
        </is>
      </c>
      <c r="E1" t="inlineStr">
        <is>
          <t>Q4 2025</t>
        </is>
      </c>
      <c r="F1" t="inlineStr">
        <is>
          <t>Total</t>
        </is>
      </c>
    </row>
    <row r="2">
      <c r="A2" t="inlineStr">
        <is>
          <t>Product A</t>
        </is>
      </c>
      <c r="B2" t="n">
        <v>125000</v>
      </c>
      <c r="C2" t="n">
        <v>132000</v>
      </c>
      <c r="D2" t="n">
        <v>128000</v>
      </c>
      <c r="E2" t="n">
        <v>145000</v>
      </c>
      <c r="F2">
        <f>SUM(B2:E2)</f>
        <v/>
      </c>
    </row>
    <row r="3">
      <c r="A3" t="inlineStr">
        <is>
          <t>Product B</t>
        </is>
      </c>
      <c r="B3" t="n">
        <v>98000</v>
      </c>
      <c r="C3" t="n">
        <v>105000</v>
      </c>
      <c r="D3" t="n">
        <v>112000</v>
      </c>
      <c r="E3" t="n">
        <v>118000</v>
      </c>
      <c r="F3">
        <f>SUM(B3:E3)</f>
        <v/>
      </c>
    </row>
    <row r="4">
      <c r="A4" t="inlineStr">
        <is>
          <t>Product C</t>
        </is>
      </c>
      <c r="B4" t="n">
        <v>87000</v>
      </c>
      <c r="C4" t="n">
        <v>91000</v>
      </c>
      <c r="D4" t="n">
        <v>95000</v>
      </c>
      <c r="E4" t="n">
        <v>102000</v>
      </c>
      <c r="F4">
        <f>SUM(B4:E4)</f>
        <v/>
      </c>
    </row>
    <row r="5">
      <c r="A5" t="inlineStr">
        <is>
          <t>Product D</t>
        </is>
      </c>
      <c r="B5" t="n">
        <v>156000</v>
      </c>
      <c r="C5" t="n">
        <v>168000</v>
      </c>
      <c r="D5" t="n">
        <v>172000</v>
      </c>
      <c r="E5" t="n">
        <v>189000</v>
      </c>
      <c r="F5">
        <f>SUM(B5:E5)</f>
        <v/>
      </c>
    </row>
    <row r="6">
      <c r="A6" t="inlineStr">
        <is>
          <t>TOTAL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ETL Pipeline Analytics Dashboard</t>
        </is>
      </c>
    </row>
    <row r="3">
      <c r="A3" t="inlineStr">
        <is>
          <t>Employee Metrics:</t>
        </is>
      </c>
    </row>
    <row r="4">
      <c r="A4" t="inlineStr">
        <is>
          <t>Total Employees:</t>
        </is>
      </c>
      <c r="B4">
        <f>Employee_Data!C8</f>
        <v/>
      </c>
    </row>
    <row r="5">
      <c r="A5" t="inlineStr">
        <is>
          <t>Average Salary:</t>
        </is>
      </c>
      <c r="B5">
        <f>Employee_Data!C9</f>
        <v/>
      </c>
    </row>
    <row r="6">
      <c r="A6" t="inlineStr">
        <is>
          <t>Total Payroll:</t>
        </is>
      </c>
      <c r="B6">
        <f>Employee_Data!C10</f>
        <v/>
      </c>
    </row>
    <row r="8">
      <c r="A8" t="inlineStr">
        <is>
          <t>Sales Metrics:</t>
        </is>
      </c>
    </row>
    <row r="9">
      <c r="A9" t="inlineStr">
        <is>
          <t>Q1 Total Sales:</t>
        </is>
      </c>
      <c r="B9">
        <f>Sales_Data!B6</f>
        <v/>
      </c>
    </row>
    <row r="10">
      <c r="A10" t="inlineStr">
        <is>
          <t>Annual Sales:</t>
        </is>
      </c>
      <c r="B10">
        <f>Sales_Data!F6</f>
        <v/>
      </c>
    </row>
    <row r="12">
      <c r="A12" t="inlineStr">
        <is>
          <t>Performance Analysis:</t>
        </is>
      </c>
    </row>
    <row r="13">
      <c r="A13" t="inlineStr">
        <is>
          <t>High Performers (&gt;4.0):</t>
        </is>
      </c>
      <c r="B13">
        <f>COUNTIF(Employee_Data!H2:H6,"&gt;4")</f>
        <v/>
      </c>
    </row>
    <row r="14">
      <c r="A14" t="inlineStr">
        <is>
          <t>Average Performance:</t>
        </is>
      </c>
      <c r="B14">
        <f>AVERAGE(Employee_Data!H2:H6)</f>
        <v/>
      </c>
    </row>
    <row r="16">
      <c r="A16" t="inlineStr">
        <is>
          <t>Report Generated:</t>
        </is>
      </c>
      <c r="B16">
        <f>NOW()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Formatted Data Test</t>
        </is>
      </c>
    </row>
    <row r="3">
      <c r="A3" t="inlineStr">
        <is>
          <t>Currency:</t>
        </is>
      </c>
      <c r="B3" s="5" t="n">
        <v>1234.56</v>
      </c>
    </row>
    <row r="4">
      <c r="A4" t="inlineStr">
        <is>
          <t>Percentage:</t>
        </is>
      </c>
      <c r="B4" s="6" t="n">
        <v>0.85</v>
      </c>
    </row>
    <row r="5">
      <c r="A5" t="inlineStr">
        <is>
          <t>Date:</t>
        </is>
      </c>
      <c r="B5" s="2" t="n">
        <v>46056</v>
      </c>
    </row>
    <row r="6">
      <c r="A6" t="inlineStr">
        <is>
          <t>Time:</t>
        </is>
      </c>
      <c r="B6" s="7" t="n">
        <v>46056.68802905848</v>
      </c>
    </row>
    <row r="8">
      <c r="A8" t="inlineStr">
        <is>
          <t>Score 1:</t>
        </is>
      </c>
      <c r="B8" s="8" t="n">
        <v>2.3</v>
      </c>
    </row>
    <row r="9">
      <c r="A9" t="inlineStr">
        <is>
          <t>Score 2:</t>
        </is>
      </c>
      <c r="B9" s="9" t="n">
        <v>3.1</v>
      </c>
    </row>
    <row r="10">
      <c r="A10" t="inlineStr">
        <is>
          <t>Score 3:</t>
        </is>
      </c>
      <c r="B10" s="9" t="n">
        <v>3.9</v>
      </c>
    </row>
    <row r="11">
      <c r="A11" t="inlineStr">
        <is>
          <t>Score 4:</t>
        </is>
      </c>
      <c r="B11" s="10" t="n">
        <v>4.7</v>
      </c>
    </row>
    <row r="12">
      <c r="A12" t="inlineStr">
        <is>
          <t>Score 5:</t>
        </is>
      </c>
      <c r="B12" s="10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2026-02-03T11:00:45Z</dcterms:created>
  <dcterms:modified xmlns:dcterms="http://purl.org/dc/terms/" xmlns:xsi="http://www.w3.org/2001/XMLSchema-instance" xsi:type="dcterms:W3CDTF">2026-02-03T11:00:45Z</dcterms:modified>
</cp:coreProperties>
</file>